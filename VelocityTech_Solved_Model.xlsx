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Data" sheetId="1" state="visible" r:id="rId3"/>
    <sheet name="Computed Metrics" sheetId="2" state="visible" r:id="rId4"/>
    <sheet name="Valuation" sheetId="3" state="visible" r:id="rId5"/>
    <sheet name="Red Flag Analysis" sheetId="4" state="visible" r:id="rId6"/>
    <sheet name="Template (Upload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<sst xmlns="http://schemas.openxmlformats.org/spreadsheetml/2006/main" count="234" uniqueCount="166">
  <si>
    <t xml:space="preserve">VelocityTech Inc. — Source Financial Data (US$ millions)</t>
  </si>
  <si>
    <t xml:space="preserve">Free Cash Flow &amp; Earnings Quality — Forensic Analysis | Group 8 | Due: 31 March</t>
  </si>
  <si>
    <t xml:space="preserve">Item</t>
  </si>
  <si>
    <t xml:space="preserve">FY 2025</t>
  </si>
  <si>
    <t xml:space="preserve">FY 2024</t>
  </si>
  <si>
    <t xml:space="preserve">Notes</t>
  </si>
  <si>
    <t xml:space="preserve">Revenue</t>
  </si>
  <si>
    <t xml:space="preserve">Reported top-line revenue</t>
  </si>
  <si>
    <t xml:space="preserve">Net Income</t>
  </si>
  <si>
    <t xml:space="preserve">GAAP net income after tax</t>
  </si>
  <si>
    <t xml:space="preserve">Depreciation &amp; Amortisation</t>
  </si>
  <si>
    <t xml:space="preserve">Non-cash add-back</t>
  </si>
  <si>
    <t xml:space="preserve">Stock-Based Compensation (non-cash)</t>
  </si>
  <si>
    <t xml:space="preserve">Non-cash; real economic cost</t>
  </si>
  <si>
    <t xml:space="preserve">Increase in Accounts Receivable</t>
  </si>
  <si>
    <t xml:space="preserve">Working capital outflow</t>
  </si>
  <si>
    <t xml:space="preserve">Increase in Inventories</t>
  </si>
  <si>
    <t xml:space="preserve">Increase in Accounts Payable</t>
  </si>
  <si>
    <t xml:space="preserve">Working capital inflow</t>
  </si>
  <si>
    <t xml:space="preserve">Increase in Deferred Revenue</t>
  </si>
  <si>
    <t xml:space="preserve">Capital Expenditures</t>
  </si>
  <si>
    <t xml:space="preserve">Cash capex per cash flow stmt</t>
  </si>
  <si>
    <t xml:space="preserve">Acquisitions (cash paid)</t>
  </si>
  <si>
    <t xml:space="preserve">Inorganic M&amp;A spend</t>
  </si>
  <si>
    <t xml:space="preserve">Total Debt</t>
  </si>
  <si>
    <t xml:space="preserve">Balance sheet — total borrowings</t>
  </si>
  <si>
    <t xml:space="preserve">Cash &amp; Equivalents</t>
  </si>
  <si>
    <t xml:space="preserve">Balance sheet — liquid assets</t>
  </si>
  <si>
    <t xml:space="preserve">Total Equity</t>
  </si>
  <si>
    <t xml:space="preserve">Balance sheet — shareholders' equity</t>
  </si>
  <si>
    <t xml:space="preserve">Total Assets</t>
  </si>
  <si>
    <t xml:space="preserve">Balance sheet — total assets</t>
  </si>
  <si>
    <t xml:space="preserve">Shares Outstanding (millions)</t>
  </si>
  <si>
    <t xml:space="preserve">Weighted avg or period-end shares</t>
  </si>
  <si>
    <t xml:space="preserve">Share Price</t>
  </si>
  <si>
    <t xml:space="preserve">Market price per share ($)</t>
  </si>
  <si>
    <t xml:space="preserve">🔵 Blue = Hardcoded input  |  ⚫ Black = Formula  |  🟢 Green = Cross-sheet link  |  🟡 Yellow = Key assumption</t>
  </si>
  <si>
    <t xml:space="preserve">VelocityTech Inc. — Computed Financial Metrics | Q8.1 &amp; Q8.2</t>
  </si>
  <si>
    <t xml:space="preserve">All formulas reference 'Input Data' sheet — change any input to auto-recalculate</t>
  </si>
  <si>
    <t xml:space="preserve">Line Item / Metric</t>
  </si>
  <si>
    <t xml:space="preserve">FY 2025 ($M)</t>
  </si>
  <si>
    <t xml:space="preserve">FY 2024 ($M)</t>
  </si>
  <si>
    <t xml:space="preserve">YoY Change</t>
  </si>
  <si>
    <t xml:space="preserve">Q8.1(a)  Cash Flow from Operations — Indirect Method</t>
  </si>
  <si>
    <t xml:space="preserve">Formula: CFO = NI + D&amp;A + SBC − ΔA/R − ΔInv + ΔA/P + ΔDeferred Rev</t>
  </si>
  <si>
    <t xml:space="preserve">Line Item</t>
  </si>
  <si>
    <t xml:space="preserve">YoY Δ</t>
  </si>
  <si>
    <t xml:space="preserve">Add: Depreciation &amp; Amortisation</t>
  </si>
  <si>
    <t xml:space="preserve">Add: Stock-Based Compensation</t>
  </si>
  <si>
    <t xml:space="preserve">Less: Increase in Accounts Rec.</t>
  </si>
  <si>
    <t xml:space="preserve">Less: Increase in Inventories</t>
  </si>
  <si>
    <t xml:space="preserve">Add: Increase in Accounts Payable</t>
  </si>
  <si>
    <t xml:space="preserve">Add: Increase in Deferred Revenue</t>
  </si>
  <si>
    <t xml:space="preserve">Cash Flow from Operations (CFO)</t>
  </si>
  <si>
    <t xml:space="preserve">  Less: SBC (treated as economic cost)</t>
  </si>
  <si>
    <t xml:space="preserve">SBC-Adjusted CFO</t>
  </si>
  <si>
    <t xml:space="preserve">Q8.1(b)  Free Cash Flow to Firm (FCFF = CFO − CapEx)</t>
  </si>
  <si>
    <t xml:space="preserve">Less: Capital Expenditures</t>
  </si>
  <si>
    <t xml:space="preserve">FCFF</t>
  </si>
  <si>
    <t xml:space="preserve">Less: Acquisitions (cash paid)</t>
  </si>
  <si>
    <t xml:space="preserve">FCFF incl. Acquisitions</t>
  </si>
  <si>
    <t xml:space="preserve">CapEx as % of CFO</t>
  </si>
  <si>
    <t xml:space="preserve">Q8.1(c)  Free Cash Flow to Equity (FCFE = FCFF + Net Borrowing)</t>
  </si>
  <si>
    <t xml:space="preserve">FY 2024 (N/A — no prior debt)</t>
  </si>
  <si>
    <t xml:space="preserve">Net Borrowing (ΔTotal Debt)</t>
  </si>
  <si>
    <t xml:space="preserve">FCFE (FY 2025)</t>
  </si>
  <si>
    <t xml:space="preserve">Q8.1(d)  Adjusted Net Income (NI − SBC)</t>
  </si>
  <si>
    <t xml:space="preserve">Reported Net Income</t>
  </si>
  <si>
    <t xml:space="preserve">Less: Stock-Based Compensation</t>
  </si>
  <si>
    <t xml:space="preserve">Adjusted Net Income</t>
  </si>
  <si>
    <t xml:space="preserve">SBC as % of Reported NI</t>
  </si>
  <si>
    <t xml:space="preserve">Reduction in 'real' earnings</t>
  </si>
  <si>
    <t xml:space="preserve">Q8.1(e)  Accrual Ratio = (NI − CFO) / Total Assets</t>
  </si>
  <si>
    <t xml:space="preserve">Net Income ($M)</t>
  </si>
  <si>
    <t xml:space="preserve">CFO ($M)</t>
  </si>
  <si>
    <t xml:space="preserve">NI − CFO ($M)</t>
  </si>
  <si>
    <t xml:space="preserve">Total Assets ($M)</t>
  </si>
  <si>
    <t xml:space="preserve">Accrual Ratio</t>
  </si>
  <si>
    <t xml:space="preserve">Q8.1(f)  Cash-to-Earnings Ratio = CFO / Net Income</t>
  </si>
  <si>
    <t xml:space="preserve">Cash-to-Earnings Ratio</t>
  </si>
  <si>
    <t xml:space="preserve">SBC-Adjusted CFO ($M)</t>
  </si>
  <si>
    <t xml:space="preserve">SBC-Adj Cash-to-Earnings</t>
  </si>
  <si>
    <t xml:space="preserve">VelocityTech Inc. — Valuation &amp; Short-Seller Analysis (Q8.2)</t>
  </si>
  <si>
    <t xml:space="preserve">▼ KEY ASSUMPTIONS — change these to recalculate implied values</t>
  </si>
  <si>
    <t xml:space="preserve">Justified EV/FCFF Multiple (×)</t>
  </si>
  <si>
    <t xml:space="preserve">Change me — sustainable growth multiple</t>
  </si>
  <si>
    <t xml:space="preserve">Estimated Acquired Revenue (%)</t>
  </si>
  <si>
    <t xml:space="preserve">% of FY2025 rev from acquisitions</t>
  </si>
  <si>
    <t xml:space="preserve">SECTION 1 — Enterprise Value Calculation</t>
  </si>
  <si>
    <t xml:space="preserve">Shares Outstanding (M)</t>
  </si>
  <si>
    <t xml:space="preserve">From input data</t>
  </si>
  <si>
    <t xml:space="preserve">Share Price ($)</t>
  </si>
  <si>
    <t xml:space="preserve">Market Capitalisation ($M)</t>
  </si>
  <si>
    <t xml:space="preserve">Shares × Price</t>
  </si>
  <si>
    <t xml:space="preserve">+ Total Debt ($M)</t>
  </si>
  <si>
    <t xml:space="preserve">− Cash &amp; Equivalents ($M)</t>
  </si>
  <si>
    <t xml:space="preserve">Enterprise Value (EV) ()</t>
  </si>
  <si>
    <t xml:space="preserve">FCFF ($M) [from Computed Metrics]</t>
  </si>
  <si>
    <t xml:space="preserve">Prior year N/A</t>
  </si>
  <si>
    <t xml:space="preserve">EV / FCFF Multiple (Actual)</t>
  </si>
  <si>
    <t xml:space="preserve">Market-implied multiple</t>
  </si>
  <si>
    <t xml:space="preserve">SECTION 2 — P/E Analysis (Reported vs SBC-Adjusted)</t>
  </si>
  <si>
    <t xml:space="preserve">Metric</t>
  </si>
  <si>
    <t xml:space="preserve">Reported</t>
  </si>
  <si>
    <t xml:space="preserve">SBC-Adjusted</t>
  </si>
  <si>
    <t xml:space="preserve">EPS ($)</t>
  </si>
  <si>
    <t xml:space="preserve">P/E Ratio</t>
  </si>
  <si>
    <t xml:space="preserve">SECTION 3 — Organic vs Reported Revenue Growth</t>
  </si>
  <si>
    <t xml:space="preserve">Value</t>
  </si>
  <si>
    <t xml:space="preserve">Reported FY2025 Revenue ($M)</t>
  </si>
  <si>
    <t xml:space="preserve">Less: Acquired Revenue ($M)</t>
  </si>
  <si>
    <t xml:space="preserve">Organic FY2025 Revenue ()</t>
  </si>
  <si>
    <t xml:space="preserve">FY2024 Revenue (base) ($M)</t>
  </si>
  <si>
    <t xml:space="preserve">Organic Revenue Growth Rate</t>
  </si>
  <si>
    <t xml:space="preserve">Organic-only growth</t>
  </si>
  <si>
    <t xml:space="preserve">Reported Revenue Growth Rate</t>
  </si>
  <si>
    <t xml:space="preserve">Headline reported growth</t>
  </si>
  <si>
    <t xml:space="preserve">SECTION 4 — Implied Fair Value per Share</t>
  </si>
  <si>
    <t xml:space="preserve">Step</t>
  </si>
  <si>
    <t xml:space="preserve">Calculation / Value</t>
  </si>
  <si>
    <t xml:space="preserve">FCFF ($M)</t>
  </si>
  <si>
    <t xml:space="preserve">From Computed Metrics sheet</t>
  </si>
  <si>
    <t xml:space="preserve">Assumption — see B3</t>
  </si>
  <si>
    <t xml:space="preserve">Implied Enterprise Value ()</t>
  </si>
  <si>
    <t xml:space="preserve">Less: Net Debt (Debt − Cash) ($M)</t>
  </si>
  <si>
    <t xml:space="preserve">Implied Equity Value ()</t>
  </si>
  <si>
    <t xml:space="preserve">÷ Shares Outstanding (M)</t>
  </si>
  <si>
    <t xml:space="preserve">Implied Fair Value per Share ($)</t>
  </si>
  <si>
    <t xml:space="preserve">Current Market Price ($)</t>
  </si>
  <si>
    <t xml:space="preserve">Implied Premium / (Discount) vs Market</t>
  </si>
  <si>
    <t xml:space="preserve">Positive = overvalued; Negative = undervalued</t>
  </si>
  <si>
    <t xml:space="preserve">VelocityTech Inc. — Red Flag Summary (Q8.1 Forensic Analysis)</t>
  </si>
  <si>
    <t xml:space="preserve">Flag</t>
  </si>
  <si>
    <t xml:space="preserve">Description</t>
  </si>
  <si>
    <t xml:space="preserve">Computed Metric</t>
  </si>
  <si>
    <t xml:space="preserve">Detail</t>
  </si>
  <si>
    <t xml:space="preserve">🔴 RF1</t>
  </si>
  <si>
    <t xml:space="preserve">SBC = 50% of Net Income</t>
  </si>
  <si>
    <t xml:space="preserve">SBC of $390M equals exactly 50% of reported NI. Adjusted NI is $390M — half the headline. Dilutes shareholders.</t>
  </si>
  <si>
    <t xml:space="preserve">🔴 RF2</t>
  </si>
  <si>
    <t xml:space="preserve">A/R growing 2× faster than revenue</t>
  </si>
  <si>
    <t xml:space="preserve">AR increment grew 105% vs 33.3% revenue growth. Signals aggressive rev recognition or credit deterioration.</t>
  </si>
  <si>
    <t xml:space="preserve">🔴 RF3</t>
  </si>
  <si>
    <t xml:space="preserve">EV/FCFF of 54.7× vs 25× justified</t>
  </si>
  <si>
    <t xml:space="preserve">At 54.7× FCFF, market extrapolates unsustainable inorganic growth. Implies 56% overvaluation at 25× justified.</t>
  </si>
  <si>
    <t xml:space="preserve">OVERALL ASSESSMENT SCORECARD (auto-linked to computed sheets)</t>
  </si>
  <si>
    <t xml:space="preserve">Signal</t>
  </si>
  <si>
    <t xml:space="preserve">Neutral (SBC-inflated)</t>
  </si>
  <si>
    <t xml:space="preserve">Modest growth</t>
  </si>
  <si>
    <t xml:space="preserve">🔴 50% haircut from NI</t>
  </si>
  <si>
    <t xml:space="preserve">Neutral (SBC-distorted)</t>
  </si>
  <si>
    <t xml:space="preserve">Cash-to-Earnings</t>
  </si>
  <si>
    <t xml:space="preserve">Deteriorating</t>
  </si>
  <si>
    <t xml:space="preserve">Reported P/E</t>
  </si>
  <si>
    <t xml:space="preserve">~41×</t>
  </si>
  <si>
    <t xml:space="preserve">🔴 Rich</t>
  </si>
  <si>
    <t xml:space="preserve">SBC-Adjusted P/E</t>
  </si>
  <si>
    <t xml:space="preserve">N/A</t>
  </si>
  <si>
    <t xml:space="preserve">🔴 Extreme</t>
  </si>
  <si>
    <t xml:space="preserve">EV/FCFF</t>
  </si>
  <si>
    <t xml:space="preserve">🔴 Severely overvalued</t>
  </si>
  <si>
    <t xml:space="preserve">Implied Fair Value/sh</t>
  </si>
  <si>
    <t xml:space="preserve">56% below market price</t>
  </si>
  <si>
    <t xml:space="preserve">UPLOAD TEMPLATE — Replace placeholder values in blue, keep row labels EXACTLY as shown</t>
  </si>
  <si>
    <t xml:space="preserve">⬇  This sheet is the upload template for the Streamlit dashboard — download, fill in, upload</t>
  </si>
  <si>
    <t xml:space="preserve">ℹ️  Enter raw numbers only (no $ signs or commas). Share Price can be numeric or include $.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</si>
</sst>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+0.0%;\-0.0%;\-"/>
    <numFmt numFmtId="167" formatCode="#,##0;\(#,##0\)"/>
    <numFmt numFmtId="168" formatCode="0.0%"/>
    <numFmt numFmtId="169" formatCode="0.00\×"/>
    <numFmt numFmtId="170" formatCode="0\×"/>
    <numFmt numFmtId="171" formatCode="0%"/>
    <numFmt numFmtId="172" formatCode="\$#,##0.00"/>
    <numFmt numFmtId="173" formatCode="0.0\×"/>
    <numFmt numFmtId="174" formatCode="\+0.0%;\(0.0%\)"/>
    <numFmt numFmtId="175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2E8F0"/>
      <name val="Arial"/>
      <family val="0"/>
      <charset val="1"/>
    </font>
    <font>
      <i val="true"/>
      <sz val="9"/>
      <color rgb="FFBEE3F8"/>
      <name val="Arial"/>
      <family val="0"/>
      <charset val="1"/>
    </font>
    <font>
      <b val="true"/>
      <sz val="11"/>
      <color rgb="FFE2E8F0"/>
      <name val="Arial"/>
      <family val="0"/>
      <charset val="1"/>
    </font>
    <font>
      <sz val="10"/>
      <color rgb="FF1A202C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10"/>
      <color rgb="FFE2E8F0"/>
      <name val="Arial"/>
      <family val="0"/>
      <charset val="1"/>
    </font>
    <font>
      <i val="true"/>
      <sz val="8"/>
      <color rgb="FFBEE3F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E2E8F0"/>
      <name val="Arial"/>
      <family val="0"/>
      <charset val="1"/>
    </font>
    <font>
      <b val="true"/>
      <sz val="9"/>
      <color rgb="FF7C3AED"/>
      <name val="Arial"/>
      <family val="0"/>
      <charset val="1"/>
    </font>
    <font>
      <sz val="1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A202C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1A202C"/>
      <name val="Arial"/>
      <family val="0"/>
      <charset val="1"/>
    </font>
    <font>
      <sz val="9"/>
      <color rgb="FFCC0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F1E38"/>
        <bgColor rgb="FF1A202C"/>
      </patternFill>
    </fill>
    <fill>
      <patternFill patternType="solid">
        <fgColor rgb="FF1E293B"/>
        <bgColor rgb="FF1A202C"/>
      </patternFill>
    </fill>
    <fill>
      <patternFill patternType="solid">
        <fgColor rgb="FFF0F4F8"/>
        <bgColor rgb="FFF0F7FF"/>
      </patternFill>
    </fill>
    <fill>
      <patternFill patternType="solid">
        <fgColor rgb="FFEBF4FF"/>
        <bgColor rgb="FFEBF8FF"/>
      </patternFill>
    </fill>
    <fill>
      <patternFill patternType="solid">
        <fgColor rgb="FFF8FAFC"/>
        <bgColor rgb="FFF0F7FF"/>
      </patternFill>
    </fill>
    <fill>
      <patternFill patternType="solid">
        <fgColor rgb="FFFFFFFF"/>
        <bgColor rgb="FFF8FAFC"/>
      </patternFill>
    </fill>
    <fill>
      <patternFill patternType="solid">
        <fgColor rgb="FFF0F7FF"/>
        <bgColor rgb="FFEBF8FF"/>
      </patternFill>
    </fill>
    <fill>
      <patternFill patternType="solid">
        <fgColor rgb="FFE8F5E9"/>
        <bgColor rgb="FFF0F4F8"/>
      </patternFill>
    </fill>
    <fill>
      <patternFill patternType="solid">
        <fgColor rgb="FFFFFBEB"/>
        <bgColor rgb="FFFEFCE8"/>
      </patternFill>
    </fill>
    <fill>
      <patternFill patternType="solid">
        <fgColor rgb="FFDBEAFE"/>
        <bgColor rgb="FFE2E8F0"/>
      </patternFill>
    </fill>
    <fill>
      <patternFill patternType="solid">
        <fgColor rgb="FFFEF9C3"/>
        <bgColor rgb="FFFEFCE8"/>
      </patternFill>
    </fill>
    <fill>
      <patternFill patternType="solid">
        <fgColor rgb="FFFEFCE8"/>
        <bgColor rgb="FFFFFBEB"/>
      </patternFill>
    </fill>
    <fill>
      <patternFill patternType="solid">
        <fgColor rgb="FFEBF8FF"/>
        <bgColor rgb="FFF0F7FF"/>
      </patternFill>
    </fill>
    <fill>
      <patternFill patternType="solid">
        <fgColor rgb="FFFEF2F2"/>
        <bgColor rgb="FFFFF5F5"/>
      </patternFill>
    </fill>
    <fill>
      <patternFill patternType="solid">
        <fgColor rgb="FFBBDEFB"/>
        <bgColor rgb="FFBEE3F8"/>
      </patternFill>
    </fill>
    <fill>
      <patternFill patternType="solid">
        <fgColor rgb="FFFC8181"/>
        <bgColor rgb="FFFF9900"/>
      </patternFill>
    </fill>
    <fill>
      <patternFill patternType="solid">
        <fgColor rgb="FFFEE2E2"/>
        <bgColor rgb="FFFEF2F2"/>
      </patternFill>
    </fill>
    <fill>
      <patternFill patternType="solid">
        <fgColor rgb="FFFFF5F5"/>
        <bgColor rgb="FFFE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63B3ED"/>
      </left>
      <right style="medium">
        <color rgb="FF63B3ED"/>
      </right>
      <top style="medium">
        <color rgb="FF63B3ED"/>
      </top>
      <bottom style="medium">
        <color rgb="FF63B3ED"/>
      </bottom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 diagonalUp="false" diagonalDown="false">
      <left style="medium">
        <color rgb="FF63B3ED"/>
      </left>
      <right/>
      <top style="medium">
        <color rgb="FF63B3ED"/>
      </top>
      <bottom style="medium">
        <color rgb="FF63B3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2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BE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EE3F8"/>
      <rgbColor rgb="FF808080"/>
      <rgbColor rgb="FFEBF4FF"/>
      <rgbColor rgb="FF7C3AED"/>
      <rgbColor rgb="FFFEF9C3"/>
      <rgbColor rgb="FFEBF8FF"/>
      <rgbColor rgb="FF660066"/>
      <rgbColor rgb="FFFC8181"/>
      <rgbColor rgb="FF0066CC"/>
      <rgbColor rgb="FFCBD5E0"/>
      <rgbColor rgb="FF000080"/>
      <rgbColor rgb="FFFF00FF"/>
      <rgbColor rgb="FFFFF5F5"/>
      <rgbColor rgb="FF00FFFF"/>
      <rgbColor rgb="FF800080"/>
      <rgbColor rgb="FF800000"/>
      <rgbColor rgb="FF008080"/>
      <rgbColor rgb="FF0000FF"/>
      <rgbColor rgb="FF00CCFF"/>
      <rgbColor rgb="FFDBEAFE"/>
      <rgbColor rgb="FFE8F5E9"/>
      <rgbColor rgb="FFFEFCE8"/>
      <rgbColor rgb="FFBBDEFB"/>
      <rgbColor rgb="FFFEF2F2"/>
      <rgbColor rgb="FFE2E8F0"/>
      <rgbColor rgb="FFFEE2E2"/>
      <rgbColor rgb="FF3366FF"/>
      <rgbColor rgb="FF63B3ED"/>
      <rgbColor rgb="FFF8FAFC"/>
      <rgbColor rgb="FFF0F4F8"/>
      <rgbColor rgb="FFFF9900"/>
      <rgbColor rgb="FFFF6600"/>
      <rgbColor rgb="FF64748B"/>
      <rgbColor rgb="FFF0F7FF"/>
      <rgbColor rgb="FF1E3A5F"/>
      <rgbColor rgb="FF339966"/>
      <rgbColor rgb="FF0F1E38"/>
      <rgbColor rgb="FF1A202C"/>
      <rgbColor rgb="FF993300"/>
      <rgbColor rgb="FF993366"/>
      <rgbColor rgb="FF374151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28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9.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8" hidden="false" customHeight="true" outlineLevel="0" collapsed="false">
      <c r="A4" s="5" t="s">
        <v>6</v>
      </c>
      <c r="B4" s="6" t="n">
        <v>5200</v>
      </c>
      <c r="C4" s="6" t="n">
        <v>3900</v>
      </c>
      <c r="D4" s="7" t="s">
        <v>7</v>
      </c>
    </row>
    <row r="5" customFormat="false" ht="18" hidden="false" customHeight="true" outlineLevel="0" collapsed="false">
      <c r="A5" s="8" t="s">
        <v>8</v>
      </c>
      <c r="B5" s="9" t="n">
        <v>780</v>
      </c>
      <c r="C5" s="9" t="n">
        <v>507</v>
      </c>
      <c r="D5" s="10" t="s">
        <v>9</v>
      </c>
    </row>
    <row r="6" customFormat="false" ht="18" hidden="false" customHeight="true" outlineLevel="0" collapsed="false">
      <c r="A6" s="5" t="s">
        <v>10</v>
      </c>
      <c r="B6" s="6" t="n">
        <v>260</v>
      </c>
      <c r="C6" s="6" t="n">
        <v>195</v>
      </c>
      <c r="D6" s="7" t="s">
        <v>11</v>
      </c>
    </row>
    <row r="7" customFormat="false" ht="18" hidden="false" customHeight="true" outlineLevel="0" collapsed="false">
      <c r="A7" s="8" t="s">
        <v>12</v>
      </c>
      <c r="B7" s="9" t="n">
        <v>390</v>
      </c>
      <c r="C7" s="9" t="n">
        <v>234</v>
      </c>
      <c r="D7" s="10" t="s">
        <v>13</v>
      </c>
    </row>
    <row r="8" customFormat="false" ht="18" hidden="false" customHeight="true" outlineLevel="0" collapsed="false">
      <c r="A8" s="5" t="s">
        <v>14</v>
      </c>
      <c r="B8" s="6" t="n">
        <v>320</v>
      </c>
      <c r="C8" s="6" t="n">
        <v>156</v>
      </c>
      <c r="D8" s="7" t="s">
        <v>15</v>
      </c>
    </row>
    <row r="9" customFormat="false" ht="18" hidden="false" customHeight="true" outlineLevel="0" collapsed="false">
      <c r="A9" s="8" t="s">
        <v>16</v>
      </c>
      <c r="B9" s="9" t="n">
        <v>180</v>
      </c>
      <c r="C9" s="9" t="n">
        <v>78</v>
      </c>
      <c r="D9" s="10" t="s">
        <v>15</v>
      </c>
    </row>
    <row r="10" customFormat="false" ht="18" hidden="false" customHeight="true" outlineLevel="0" collapsed="false">
      <c r="A10" s="5" t="s">
        <v>17</v>
      </c>
      <c r="B10" s="6" t="n">
        <v>110</v>
      </c>
      <c r="C10" s="6" t="n">
        <v>72</v>
      </c>
      <c r="D10" s="7" t="s">
        <v>18</v>
      </c>
    </row>
    <row r="11" customFormat="false" ht="18" hidden="false" customHeight="true" outlineLevel="0" collapsed="false">
      <c r="A11" s="8" t="s">
        <v>19</v>
      </c>
      <c r="B11" s="9" t="n">
        <v>200</v>
      </c>
      <c r="C11" s="9" t="n">
        <v>130</v>
      </c>
      <c r="D11" s="10" t="s">
        <v>18</v>
      </c>
    </row>
    <row r="12" customFormat="false" ht="18" hidden="false" customHeight="true" outlineLevel="0" collapsed="false">
      <c r="A12" s="5" t="s">
        <v>20</v>
      </c>
      <c r="B12" s="6" t="n">
        <v>650</v>
      </c>
      <c r="C12" s="6" t="n">
        <v>390</v>
      </c>
      <c r="D12" s="7" t="s">
        <v>21</v>
      </c>
    </row>
    <row r="13" customFormat="false" ht="18" hidden="false" customHeight="true" outlineLevel="0" collapsed="false">
      <c r="A13" s="8" t="s">
        <v>22</v>
      </c>
      <c r="B13" s="9" t="n">
        <v>400</v>
      </c>
      <c r="C13" s="9" t="n">
        <v>0</v>
      </c>
      <c r="D13" s="10" t="s">
        <v>23</v>
      </c>
    </row>
    <row r="14" customFormat="false" ht="18" hidden="false" customHeight="true" outlineLevel="0" collapsed="false">
      <c r="A14" s="5" t="s">
        <v>24</v>
      </c>
      <c r="B14" s="6" t="n">
        <v>2000</v>
      </c>
      <c r="C14" s="6" t="n">
        <v>1200</v>
      </c>
      <c r="D14" s="7" t="s">
        <v>25</v>
      </c>
    </row>
    <row r="15" customFormat="false" ht="18" hidden="false" customHeight="true" outlineLevel="0" collapsed="false">
      <c r="A15" s="8" t="s">
        <v>26</v>
      </c>
      <c r="B15" s="9" t="n">
        <v>900</v>
      </c>
      <c r="C15" s="9" t="n">
        <v>600</v>
      </c>
      <c r="D15" s="10" t="s">
        <v>27</v>
      </c>
    </row>
    <row r="16" customFormat="false" ht="18" hidden="false" customHeight="true" outlineLevel="0" collapsed="false">
      <c r="A16" s="5" t="s">
        <v>28</v>
      </c>
      <c r="B16" s="6" t="n">
        <v>3200</v>
      </c>
      <c r="C16" s="6" t="n">
        <v>2600</v>
      </c>
      <c r="D16" s="7" t="s">
        <v>29</v>
      </c>
    </row>
    <row r="17" customFormat="false" ht="18" hidden="false" customHeight="true" outlineLevel="0" collapsed="false">
      <c r="A17" s="8" t="s">
        <v>30</v>
      </c>
      <c r="B17" s="9" t="n">
        <v>7800</v>
      </c>
      <c r="C17" s="9" t="n">
        <v>5400</v>
      </c>
      <c r="D17" s="10" t="s">
        <v>31</v>
      </c>
    </row>
    <row r="18" customFormat="false" ht="18" hidden="false" customHeight="true" outlineLevel="0" collapsed="false">
      <c r="A18" s="5" t="s">
        <v>32</v>
      </c>
      <c r="B18" s="6" t="n">
        <v>600</v>
      </c>
      <c r="C18" s="6" t="n">
        <v>550</v>
      </c>
      <c r="D18" s="7" t="s">
        <v>33</v>
      </c>
    </row>
    <row r="19" customFormat="false" ht="18" hidden="false" customHeight="true" outlineLevel="0" collapsed="false">
      <c r="A19" s="8" t="s">
        <v>34</v>
      </c>
      <c r="B19" s="9" t="n">
        <v>52</v>
      </c>
      <c r="C19" s="9" t="n">
        <v>38</v>
      </c>
      <c r="D19" s="10" t="s">
        <v>35</v>
      </c>
    </row>
    <row r="21" customFormat="false" ht="15" hidden="false" customHeight="true" outlineLevel="0" collapsed="false">
      <c r="A21" s="11" t="s">
        <v>36</v>
      </c>
      <c r="B21" s="11"/>
      <c r="C21" s="11"/>
      <c r="D21" s="11"/>
    </row>
  </sheetData>
  <mergeCells count="3">
    <mergeCell ref="A1:D1"/>
    <mergeCell ref="A2:D2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6"/>
  </cols>
  <sheetData>
    <row r="1" customFormat="false" ht="31.5" hidden="false" customHeight="true" outlineLevel="0" collapsed="false">
      <c r="A1" s="2" t="s">
        <v>37</v>
      </c>
      <c r="B1" s="2"/>
      <c r="C1" s="2"/>
      <c r="D1" s="2"/>
    </row>
    <row r="2" customFormat="false" ht="15" hidden="false" customHeight="true" outlineLevel="0" collapsed="false">
      <c r="A2" s="3" t="s">
        <v>38</v>
      </c>
      <c r="B2" s="3"/>
      <c r="C2" s="3"/>
      <c r="D2" s="3"/>
    </row>
    <row r="3" customFormat="false" ht="15" hidden="false" customHeight="true" outlineLevel="0" collapsed="false">
      <c r="A3" s="12" t="s">
        <v>39</v>
      </c>
      <c r="B3" s="12" t="s">
        <v>40</v>
      </c>
      <c r="C3" s="12" t="s">
        <v>41</v>
      </c>
      <c r="D3" s="12" t="s">
        <v>42</v>
      </c>
    </row>
    <row r="5" customFormat="false" ht="15" hidden="false" customHeight="true" outlineLevel="0" collapsed="false">
      <c r="A5" s="13" t="s">
        <v>43</v>
      </c>
      <c r="B5" s="13"/>
      <c r="C5" s="13"/>
      <c r="D5" s="13"/>
    </row>
    <row r="6" customFormat="false" ht="15" hidden="false" customHeight="true" outlineLevel="0" collapsed="false">
      <c r="A6" s="14" t="s">
        <v>44</v>
      </c>
      <c r="B6" s="14"/>
      <c r="C6" s="14"/>
      <c r="D6" s="14"/>
    </row>
    <row r="7" customFormat="false" ht="15" hidden="false" customHeight="true" outlineLevel="0" collapsed="false">
      <c r="A7" s="12" t="s">
        <v>45</v>
      </c>
      <c r="B7" s="12" t="s">
        <v>3</v>
      </c>
      <c r="C7" s="12" t="s">
        <v>4</v>
      </c>
      <c r="D7" s="12" t="s">
        <v>46</v>
      </c>
    </row>
    <row r="8" customFormat="false" ht="15" hidden="false" customHeight="true" outlineLevel="0" collapsed="false">
      <c r="A8" s="5" t="s">
        <v>8</v>
      </c>
      <c r="B8" s="15" t="n">
        <f aca="false">'Input Data'!B5</f>
        <v>780</v>
      </c>
      <c r="C8" s="16" t="n">
        <f aca="false">'Input Data'!C5</f>
        <v>507</v>
      </c>
      <c r="D8" s="17" t="n">
        <f aca="false">IF(C8&lt;&gt;0,(B8-C8)/ABS(C8),"N/A")</f>
        <v>0.538461538461538</v>
      </c>
    </row>
    <row r="9" customFormat="false" ht="15" hidden="false" customHeight="true" outlineLevel="0" collapsed="false">
      <c r="A9" s="5" t="s">
        <v>47</v>
      </c>
      <c r="B9" s="15" t="n">
        <f aca="false">'Input Data'!B6</f>
        <v>260</v>
      </c>
      <c r="C9" s="16" t="n">
        <f aca="false">'Input Data'!C6</f>
        <v>195</v>
      </c>
      <c r="D9" s="17" t="n">
        <f aca="false">IF(C9&lt;&gt;0,(B9-C9)/ABS(C9),"N/A")</f>
        <v>0.333333333333333</v>
      </c>
    </row>
    <row r="10" customFormat="false" ht="15" hidden="false" customHeight="true" outlineLevel="0" collapsed="false">
      <c r="A10" s="5" t="s">
        <v>48</v>
      </c>
      <c r="B10" s="15" t="n">
        <f aca="false">'Input Data'!B7</f>
        <v>390</v>
      </c>
      <c r="C10" s="16" t="n">
        <f aca="false">'Input Data'!C7</f>
        <v>234</v>
      </c>
      <c r="D10" s="17" t="n">
        <f aca="false">IF(C10&lt;&gt;0,(B10-C10)/ABS(C10),"N/A")</f>
        <v>0.666666666666667</v>
      </c>
    </row>
    <row r="11" customFormat="false" ht="15" hidden="false" customHeight="true" outlineLevel="0" collapsed="false">
      <c r="A11" s="5" t="s">
        <v>49</v>
      </c>
      <c r="B11" s="18" t="n">
        <f aca="false">-'Input Data'!B8</f>
        <v>-320</v>
      </c>
      <c r="C11" s="19" t="n">
        <f aca="false">-'Input Data'!C8</f>
        <v>-156</v>
      </c>
      <c r="D11" s="17" t="n">
        <f aca="false">IF(C11&lt;&gt;0,(B11-C11)/ABS(C11),"N/A")</f>
        <v>-1.05128205128205</v>
      </c>
    </row>
    <row r="12" customFormat="false" ht="15" hidden="false" customHeight="true" outlineLevel="0" collapsed="false">
      <c r="A12" s="5" t="s">
        <v>50</v>
      </c>
      <c r="B12" s="18" t="n">
        <f aca="false">-'Input Data'!B9</f>
        <v>-180</v>
      </c>
      <c r="C12" s="19" t="n">
        <f aca="false">-'Input Data'!C9</f>
        <v>-78</v>
      </c>
      <c r="D12" s="17" t="n">
        <f aca="false">IF(C12&lt;&gt;0,(B12-C12)/ABS(C12),"N/A")</f>
        <v>-1.30769230769231</v>
      </c>
    </row>
    <row r="13" customFormat="false" ht="15" hidden="false" customHeight="true" outlineLevel="0" collapsed="false">
      <c r="A13" s="5" t="s">
        <v>51</v>
      </c>
      <c r="B13" s="15" t="n">
        <f aca="false">'Input Data'!B10</f>
        <v>110</v>
      </c>
      <c r="C13" s="16" t="n">
        <f aca="false">'Input Data'!C10</f>
        <v>72</v>
      </c>
      <c r="D13" s="17" t="n">
        <f aca="false">IF(C13&lt;&gt;0,(B13-C13)/ABS(C13),"N/A")</f>
        <v>0.527777777777778</v>
      </c>
    </row>
    <row r="14" customFormat="false" ht="15" hidden="false" customHeight="true" outlineLevel="0" collapsed="false">
      <c r="A14" s="5" t="s">
        <v>52</v>
      </c>
      <c r="B14" s="15" t="n">
        <f aca="false">'Input Data'!B11</f>
        <v>200</v>
      </c>
      <c r="C14" s="16" t="n">
        <f aca="false">'Input Data'!C11</f>
        <v>130</v>
      </c>
      <c r="D14" s="17" t="n">
        <f aca="false">IF(C14&lt;&gt;0,(B14-C14)/ABS(C14),"N/A")</f>
        <v>0.538461538461538</v>
      </c>
    </row>
    <row r="15" customFormat="false" ht="15" hidden="false" customHeight="true" outlineLevel="0" collapsed="false">
      <c r="A15" s="20" t="s">
        <v>53</v>
      </c>
      <c r="B15" s="21" t="n">
        <f aca="false">SUM(B8:B14)</f>
        <v>1240</v>
      </c>
      <c r="C15" s="22" t="n">
        <f aca="false">SUM(C8:C14)</f>
        <v>904</v>
      </c>
      <c r="D15" s="17" t="n">
        <f aca="false">IF(C15&lt;&gt;0,(B15-C15)/ABS(C15),"N/A")</f>
        <v>0.371681415929204</v>
      </c>
    </row>
    <row r="16" customFormat="false" ht="15" hidden="false" customHeight="true" outlineLevel="0" collapsed="false">
      <c r="A16" s="5" t="s">
        <v>54</v>
      </c>
      <c r="B16" s="18" t="n">
        <f aca="false">-'Input Data'!B7</f>
        <v>-390</v>
      </c>
      <c r="C16" s="19" t="n">
        <f aca="false">-'Input Data'!C7</f>
        <v>-234</v>
      </c>
      <c r="D16" s="17" t="n">
        <f aca="false">IF(C16&lt;&gt;0,(B16-C16)/ABS(C16),"N/A")</f>
        <v>-0.666666666666667</v>
      </c>
    </row>
    <row r="17" customFormat="false" ht="15" hidden="false" customHeight="true" outlineLevel="0" collapsed="false">
      <c r="A17" s="20" t="s">
        <v>55</v>
      </c>
      <c r="B17" s="21" t="n">
        <f aca="false">B15+B16</f>
        <v>850</v>
      </c>
      <c r="C17" s="22" t="n">
        <f aca="false">C15+C16</f>
        <v>670</v>
      </c>
      <c r="D17" s="17" t="n">
        <f aca="false">IF(C17&lt;&gt;0,(B17-C17)/ABS(C17),"N/A")</f>
        <v>0.26865671641791</v>
      </c>
    </row>
    <row r="19" customFormat="false" ht="15" hidden="false" customHeight="true" outlineLevel="0" collapsed="false">
      <c r="A19" s="13" t="s">
        <v>56</v>
      </c>
      <c r="B19" s="13"/>
      <c r="C19" s="13"/>
      <c r="D19" s="13"/>
    </row>
    <row r="20" customFormat="false" ht="15" hidden="false" customHeight="true" outlineLevel="0" collapsed="false">
      <c r="A20" s="12" t="s">
        <v>45</v>
      </c>
      <c r="B20" s="12" t="s">
        <v>3</v>
      </c>
      <c r="C20" s="12" t="s">
        <v>4</v>
      </c>
      <c r="D20" s="12" t="s">
        <v>46</v>
      </c>
    </row>
    <row r="21" customFormat="false" ht="15" hidden="false" customHeight="true" outlineLevel="0" collapsed="false">
      <c r="A21" s="5" t="s">
        <v>53</v>
      </c>
      <c r="B21" s="15" t="n">
        <f aca="false">B15</f>
        <v>1240</v>
      </c>
      <c r="C21" s="16" t="n">
        <f aca="false">C15</f>
        <v>904</v>
      </c>
      <c r="D21" s="17" t="n">
        <f aca="false">IF(C21&lt;&gt;0,(B21-C21)/ABS(C21),"N/A")</f>
        <v>0.371681415929204</v>
      </c>
    </row>
    <row r="22" customFormat="false" ht="15" hidden="false" customHeight="true" outlineLevel="0" collapsed="false">
      <c r="A22" s="5" t="s">
        <v>57</v>
      </c>
      <c r="B22" s="18" t="n">
        <f aca="false">-'Input Data'!B12</f>
        <v>-650</v>
      </c>
      <c r="C22" s="19" t="n">
        <f aca="false">-'Input Data'!C12</f>
        <v>-390</v>
      </c>
      <c r="D22" s="17" t="n">
        <f aca="false">IF(C22&lt;&gt;0,(B22-C22)/ABS(C22),"N/A")</f>
        <v>-0.666666666666667</v>
      </c>
    </row>
    <row r="23" customFormat="false" ht="15" hidden="false" customHeight="true" outlineLevel="0" collapsed="false">
      <c r="A23" s="20" t="s">
        <v>58</v>
      </c>
      <c r="B23" s="21" t="n">
        <f aca="false">B21+B22</f>
        <v>590</v>
      </c>
      <c r="C23" s="22" t="n">
        <f aca="false">C21+C22</f>
        <v>514</v>
      </c>
      <c r="D23" s="17" t="n">
        <f aca="false">IF(C23&lt;&gt;0,(B23-C23)/ABS(C23),"N/A")</f>
        <v>0.147859922178988</v>
      </c>
    </row>
    <row r="24" customFormat="false" ht="15" hidden="false" customHeight="true" outlineLevel="0" collapsed="false">
      <c r="A24" s="5" t="s">
        <v>59</v>
      </c>
      <c r="B24" s="18" t="n">
        <f aca="false">-'Input Data'!B13</f>
        <v>-400</v>
      </c>
      <c r="C24" s="19" t="n">
        <f aca="false">-'Input Data'!C13</f>
        <v>-0</v>
      </c>
      <c r="D24" s="17" t="str">
        <f aca="false">IF(C24&lt;&gt;0,(B24-C24)/ABS(C24),"N/A")</f>
        <v>N/A</v>
      </c>
    </row>
    <row r="25" customFormat="false" ht="15" hidden="false" customHeight="true" outlineLevel="0" collapsed="false">
      <c r="A25" s="20" t="s">
        <v>60</v>
      </c>
      <c r="B25" s="21" t="n">
        <f aca="false">B23+B24</f>
        <v>190</v>
      </c>
      <c r="C25" s="22" t="n">
        <f aca="false">C23+C24</f>
        <v>514</v>
      </c>
      <c r="D25" s="17" t="n">
        <f aca="false">IF(C25&lt;&gt;0,(B25-C25)/ABS(C25),"N/A")</f>
        <v>-0.630350194552529</v>
      </c>
    </row>
    <row r="26" customFormat="false" ht="15" hidden="false" customHeight="true" outlineLevel="0" collapsed="false">
      <c r="A26" s="5" t="s">
        <v>61</v>
      </c>
      <c r="B26" s="23" t="n">
        <f aca="false">'Input Data'!B12/B15</f>
        <v>0.524193548387097</v>
      </c>
      <c r="C26" s="24" t="n">
        <f aca="false">'Input Data'!C12/C15</f>
        <v>0.43141592920354</v>
      </c>
      <c r="D26" s="17" t="n">
        <f aca="false">IF(C26&lt;&gt;0,(B26-C26)/ABS(C26),"N/A")</f>
        <v>0.21505376344086</v>
      </c>
    </row>
    <row r="28" customFormat="false" ht="15" hidden="false" customHeight="true" outlineLevel="0" collapsed="false">
      <c r="A28" s="13" t="s">
        <v>62</v>
      </c>
      <c r="B28" s="13"/>
      <c r="C28" s="13"/>
      <c r="D28" s="13"/>
    </row>
    <row r="29" customFormat="false" ht="23.25" hidden="false" customHeight="true" outlineLevel="0" collapsed="false">
      <c r="A29" s="12" t="s">
        <v>45</v>
      </c>
      <c r="B29" s="12" t="s">
        <v>3</v>
      </c>
      <c r="C29" s="12" t="s">
        <v>63</v>
      </c>
      <c r="D29" s="12" t="s">
        <v>46</v>
      </c>
    </row>
    <row r="30" customFormat="false" ht="15" hidden="false" customHeight="true" outlineLevel="0" collapsed="false">
      <c r="A30" s="5" t="s">
        <v>58</v>
      </c>
      <c r="B30" s="15" t="n">
        <f aca="false">B23</f>
        <v>590</v>
      </c>
    </row>
    <row r="31" customFormat="false" ht="15" hidden="false" customHeight="true" outlineLevel="0" collapsed="false">
      <c r="A31" s="5" t="s">
        <v>64</v>
      </c>
      <c r="B31" s="15" t="n">
        <f aca="false">'Input Data'!B14-'Input Data'!C14</f>
        <v>800</v>
      </c>
    </row>
    <row r="32" customFormat="false" ht="15" hidden="false" customHeight="true" outlineLevel="0" collapsed="false">
      <c r="A32" s="20" t="s">
        <v>65</v>
      </c>
      <c r="B32" s="21" t="n">
        <f aca="false">B30+B31</f>
        <v>1390</v>
      </c>
    </row>
    <row r="34" customFormat="false" ht="15" hidden="false" customHeight="true" outlineLevel="0" collapsed="false">
      <c r="A34" s="13" t="s">
        <v>66</v>
      </c>
      <c r="B34" s="13"/>
      <c r="C34" s="13"/>
      <c r="D34" s="13"/>
    </row>
    <row r="35" customFormat="false" ht="15" hidden="false" customHeight="true" outlineLevel="0" collapsed="false">
      <c r="A35" s="12" t="s">
        <v>45</v>
      </c>
      <c r="B35" s="12" t="s">
        <v>3</v>
      </c>
      <c r="C35" s="12" t="s">
        <v>4</v>
      </c>
      <c r="D35" s="12" t="s">
        <v>46</v>
      </c>
    </row>
    <row r="36" customFormat="false" ht="15" hidden="false" customHeight="true" outlineLevel="0" collapsed="false">
      <c r="A36" s="5" t="s">
        <v>67</v>
      </c>
      <c r="B36" s="15" t="n">
        <f aca="false">'Input Data'!B5</f>
        <v>780</v>
      </c>
      <c r="C36" s="16" t="n">
        <f aca="false">'Input Data'!C5</f>
        <v>507</v>
      </c>
      <c r="D36" s="17" t="n">
        <f aca="false">IF(C36&lt;&gt;0,(B36-C36)/ABS(C36),"N/A")</f>
        <v>0.538461538461538</v>
      </c>
    </row>
    <row r="37" customFormat="false" ht="15" hidden="false" customHeight="true" outlineLevel="0" collapsed="false">
      <c r="A37" s="5" t="s">
        <v>68</v>
      </c>
      <c r="B37" s="18" t="n">
        <f aca="false">-'Input Data'!B7</f>
        <v>-390</v>
      </c>
      <c r="C37" s="19" t="n">
        <f aca="false">-'Input Data'!C7</f>
        <v>-234</v>
      </c>
      <c r="D37" s="17" t="n">
        <f aca="false">IF(C37&lt;&gt;0,(B37-C37)/ABS(C37),"N/A")</f>
        <v>-0.666666666666667</v>
      </c>
    </row>
    <row r="38" customFormat="false" ht="15" hidden="false" customHeight="true" outlineLevel="0" collapsed="false">
      <c r="A38" s="20" t="s">
        <v>69</v>
      </c>
      <c r="B38" s="21" t="n">
        <f aca="false">B36+B37</f>
        <v>390</v>
      </c>
      <c r="C38" s="22" t="n">
        <f aca="false">C36+C37</f>
        <v>273</v>
      </c>
      <c r="D38" s="17" t="n">
        <f aca="false">IF(C38&lt;&gt;0,(B38-C38)/ABS(C38),"N/A")</f>
        <v>0.428571428571429</v>
      </c>
    </row>
    <row r="39" customFormat="false" ht="15" hidden="false" customHeight="true" outlineLevel="0" collapsed="false">
      <c r="A39" s="5" t="s">
        <v>70</v>
      </c>
      <c r="B39" s="23" t="n">
        <f aca="false">'Input Data'!B7/'Input Data'!B5</f>
        <v>0.5</v>
      </c>
      <c r="C39" s="24" t="n">
        <f aca="false">'Input Data'!C7/'Input Data'!C5</f>
        <v>0.461538461538462</v>
      </c>
      <c r="D39" s="17" t="n">
        <f aca="false">IF(C39&lt;&gt;0,(B39-C39)/ABS(C39),"N/A")</f>
        <v>0.0833333333333333</v>
      </c>
    </row>
    <row r="40" customFormat="false" ht="15" hidden="false" customHeight="true" outlineLevel="0" collapsed="false">
      <c r="A40" s="5" t="s">
        <v>71</v>
      </c>
      <c r="B40" s="23" t="n">
        <f aca="false">1-B38/'Input Data'!B5</f>
        <v>0.5</v>
      </c>
      <c r="C40" s="24" t="n">
        <f aca="false">1-C38/'Input Data'!C5</f>
        <v>0.461538461538462</v>
      </c>
      <c r="D40" s="17" t="n">
        <f aca="false">IF(C40&lt;&gt;0,(B40-C40)/ABS(C40),"N/A")</f>
        <v>0.0833333333333333</v>
      </c>
    </row>
    <row r="42" customFormat="false" ht="15" hidden="false" customHeight="true" outlineLevel="0" collapsed="false">
      <c r="A42" s="13" t="s">
        <v>72</v>
      </c>
      <c r="B42" s="13"/>
      <c r="C42" s="13"/>
      <c r="D42" s="13"/>
    </row>
    <row r="43" customFormat="false" ht="15" hidden="false" customHeight="true" outlineLevel="0" collapsed="false">
      <c r="A43" s="12" t="s">
        <v>2</v>
      </c>
      <c r="B43" s="12" t="s">
        <v>3</v>
      </c>
      <c r="C43" s="12" t="s">
        <v>4</v>
      </c>
      <c r="D43" s="12" t="s">
        <v>46</v>
      </c>
    </row>
    <row r="44" customFormat="false" ht="15" hidden="false" customHeight="true" outlineLevel="0" collapsed="false">
      <c r="A44" s="5" t="s">
        <v>73</v>
      </c>
      <c r="B44" s="15" t="n">
        <f aca="false">'Input Data'!B5</f>
        <v>780</v>
      </c>
      <c r="C44" s="16" t="n">
        <f aca="false">'Input Data'!C5</f>
        <v>507</v>
      </c>
      <c r="D44" s="17" t="n">
        <f aca="false">IF(C44&lt;&gt;0,(B44-C44)/ABS(C44),"N/A")</f>
        <v>0.538461538461538</v>
      </c>
    </row>
    <row r="45" customFormat="false" ht="15" hidden="false" customHeight="true" outlineLevel="0" collapsed="false">
      <c r="A45" s="5" t="s">
        <v>74</v>
      </c>
      <c r="B45" s="15" t="n">
        <f aca="false">B15</f>
        <v>1240</v>
      </c>
      <c r="C45" s="16" t="n">
        <f aca="false">C15</f>
        <v>904</v>
      </c>
      <c r="D45" s="17" t="n">
        <f aca="false">IF(C45&lt;&gt;0,(B45-C45)/ABS(C45),"N/A")</f>
        <v>0.371681415929204</v>
      </c>
    </row>
    <row r="46" customFormat="false" ht="15" hidden="false" customHeight="true" outlineLevel="0" collapsed="false">
      <c r="A46" s="5" t="s">
        <v>75</v>
      </c>
      <c r="B46" s="18" t="n">
        <f aca="false">'Input Data'!B5-B15</f>
        <v>-460</v>
      </c>
      <c r="C46" s="19" t="n">
        <f aca="false">'Input Data'!C5-C15</f>
        <v>-397</v>
      </c>
      <c r="D46" s="17" t="n">
        <f aca="false">IF(C46&lt;&gt;0,(B46-C46)/ABS(C46),"N/A")</f>
        <v>-0.158690176322418</v>
      </c>
    </row>
    <row r="47" customFormat="false" ht="15" hidden="false" customHeight="true" outlineLevel="0" collapsed="false">
      <c r="A47" s="5" t="s">
        <v>76</v>
      </c>
      <c r="B47" s="15" t="n">
        <f aca="false">'Input Data'!B17</f>
        <v>7800</v>
      </c>
      <c r="C47" s="16" t="n">
        <f aca="false">'Input Data'!C17</f>
        <v>5400</v>
      </c>
      <c r="D47" s="17" t="n">
        <f aca="false">IF(C47&lt;&gt;0,(B47-C47)/ABS(C47),"N/A")</f>
        <v>0.444444444444444</v>
      </c>
    </row>
    <row r="48" customFormat="false" ht="15" hidden="false" customHeight="true" outlineLevel="0" collapsed="false">
      <c r="A48" s="20" t="s">
        <v>77</v>
      </c>
      <c r="B48" s="25" t="n">
        <f aca="false">('Input Data'!B5-B15)/'Input Data'!B17</f>
        <v>-0.058974358974359</v>
      </c>
      <c r="C48" s="26" t="n">
        <f aca="false">('Input Data'!C5-C15)/'Input Data'!C17</f>
        <v>-0.0735185185185185</v>
      </c>
      <c r="D48" s="17" t="n">
        <f aca="false">IF(C48&lt;&gt;0,(B48-C48)/ABS(C48),"N/A")</f>
        <v>0.197829877930634</v>
      </c>
    </row>
    <row r="50" customFormat="false" ht="15" hidden="false" customHeight="true" outlineLevel="0" collapsed="false">
      <c r="A50" s="13" t="s">
        <v>78</v>
      </c>
      <c r="B50" s="13"/>
      <c r="C50" s="13"/>
      <c r="D50" s="13"/>
    </row>
    <row r="51" customFormat="false" ht="15" hidden="false" customHeight="true" outlineLevel="0" collapsed="false">
      <c r="A51" s="12" t="s">
        <v>2</v>
      </c>
      <c r="B51" s="12" t="s">
        <v>3</v>
      </c>
      <c r="C51" s="12" t="s">
        <v>4</v>
      </c>
      <c r="D51" s="12" t="s">
        <v>46</v>
      </c>
    </row>
    <row r="52" customFormat="false" ht="15" hidden="false" customHeight="true" outlineLevel="0" collapsed="false">
      <c r="A52" s="5" t="s">
        <v>74</v>
      </c>
      <c r="B52" s="15" t="n">
        <f aca="false">B15</f>
        <v>1240</v>
      </c>
      <c r="C52" s="16" t="n">
        <f aca="false">C15</f>
        <v>904</v>
      </c>
      <c r="D52" s="17" t="n">
        <f aca="false">IF(C52&lt;&gt;0,(B52-C52)/ABS(C52),"N/A")</f>
        <v>0.371681415929204</v>
      </c>
    </row>
    <row r="53" customFormat="false" ht="15" hidden="false" customHeight="true" outlineLevel="0" collapsed="false">
      <c r="A53" s="5" t="s">
        <v>73</v>
      </c>
      <c r="B53" s="15" t="n">
        <f aca="false">'Input Data'!B5</f>
        <v>780</v>
      </c>
      <c r="C53" s="16" t="n">
        <f aca="false">'Input Data'!C5</f>
        <v>507</v>
      </c>
      <c r="D53" s="17" t="n">
        <f aca="false">IF(C53&lt;&gt;0,(B53-C53)/ABS(C53),"N/A")</f>
        <v>0.538461538461538</v>
      </c>
    </row>
    <row r="54" customFormat="false" ht="15" hidden="false" customHeight="true" outlineLevel="0" collapsed="false">
      <c r="A54" s="20" t="s">
        <v>79</v>
      </c>
      <c r="B54" s="27" t="n">
        <f aca="false">B52/B53</f>
        <v>1.58974358974359</v>
      </c>
      <c r="C54" s="28" t="n">
        <f aca="false">C52/C53</f>
        <v>1.78303747534517</v>
      </c>
      <c r="D54" s="17" t="n">
        <f aca="false">IF(C54&lt;&gt;0,(B54-C54)/ABS(C54),"N/A")</f>
        <v>-0.108407079646018</v>
      </c>
    </row>
    <row r="55" customFormat="false" ht="15" hidden="false" customHeight="true" outlineLevel="0" collapsed="false">
      <c r="A55" s="5" t="s">
        <v>80</v>
      </c>
      <c r="B55" s="15" t="n">
        <f aca="false">B17</f>
        <v>850</v>
      </c>
      <c r="C55" s="16" t="n">
        <f aca="false">C17</f>
        <v>670</v>
      </c>
      <c r="D55" s="17" t="n">
        <f aca="false">IF(C55&lt;&gt;0,(B55-C55)/ABS(C55),"N/A")</f>
        <v>0.26865671641791</v>
      </c>
    </row>
    <row r="56" customFormat="false" ht="15" hidden="false" customHeight="true" outlineLevel="0" collapsed="false">
      <c r="A56" s="20" t="s">
        <v>81</v>
      </c>
      <c r="B56" s="27" t="n">
        <f aca="false">B55/'Input Data'!B5</f>
        <v>1.08974358974359</v>
      </c>
      <c r="C56" s="28" t="n">
        <f aca="false">C55/'Input Data'!C5</f>
        <v>1.32149901380671</v>
      </c>
      <c r="D56" s="17" t="n">
        <f aca="false">IF(C56&lt;&gt;0,(B56-C56)/ABS(C56),"N/A")</f>
        <v>-0.175373134328358</v>
      </c>
    </row>
  </sheetData>
  <mergeCells count="9">
    <mergeCell ref="A1:D1"/>
    <mergeCell ref="A2:D2"/>
    <mergeCell ref="A5:D5"/>
    <mergeCell ref="A6:D6"/>
    <mergeCell ref="A19:D19"/>
    <mergeCell ref="A28:D28"/>
    <mergeCell ref="A34:D34"/>
    <mergeCell ref="A42:D42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22"/>
  </cols>
  <sheetData>
    <row r="1" customFormat="false" ht="30" hidden="false" customHeight="true" outlineLevel="0" collapsed="false">
      <c r="A1" s="29" t="s">
        <v>82</v>
      </c>
      <c r="B1" s="29"/>
      <c r="C1" s="29"/>
    </row>
    <row r="2" customFormat="false" ht="15" hidden="false" customHeight="true" outlineLevel="0" collapsed="false">
      <c r="A2" s="30" t="s">
        <v>83</v>
      </c>
      <c r="B2" s="30"/>
      <c r="C2" s="30"/>
    </row>
    <row r="3" customFormat="false" ht="18" hidden="false" customHeight="true" outlineLevel="0" collapsed="false">
      <c r="A3" s="31" t="s">
        <v>84</v>
      </c>
      <c r="B3" s="32" t="n">
        <v>25</v>
      </c>
      <c r="C3" s="7" t="s">
        <v>85</v>
      </c>
    </row>
    <row r="4" customFormat="false" ht="18" hidden="false" customHeight="true" outlineLevel="0" collapsed="false">
      <c r="A4" s="31" t="s">
        <v>86</v>
      </c>
      <c r="B4" s="33" t="n">
        <v>0.1</v>
      </c>
      <c r="C4" s="7" t="s">
        <v>87</v>
      </c>
    </row>
    <row r="6" customFormat="false" ht="15" hidden="false" customHeight="true" outlineLevel="0" collapsed="false">
      <c r="A6" s="34" t="s">
        <v>88</v>
      </c>
      <c r="B6" s="34"/>
      <c r="C6" s="34"/>
    </row>
    <row r="7" customFormat="false" ht="18" hidden="false" customHeight="true" outlineLevel="0" collapsed="false">
      <c r="A7" s="35" t="s">
        <v>89</v>
      </c>
      <c r="B7" s="36" t="n">
        <f aca="false">'Input Data'!B18</f>
        <v>600</v>
      </c>
      <c r="C7" s="7" t="s">
        <v>90</v>
      </c>
    </row>
    <row r="8" customFormat="false" ht="18" hidden="false" customHeight="true" outlineLevel="0" collapsed="false">
      <c r="A8" s="35" t="s">
        <v>91</v>
      </c>
      <c r="B8" s="37" t="n">
        <f aca="false">'Input Data'!B19</f>
        <v>52</v>
      </c>
      <c r="C8" s="7" t="s">
        <v>90</v>
      </c>
    </row>
    <row r="9" customFormat="false" ht="18" hidden="false" customHeight="true" outlineLevel="0" collapsed="false">
      <c r="A9" s="35" t="s">
        <v>92</v>
      </c>
      <c r="B9" s="36" t="n">
        <f aca="false">'Input Data'!B18*'Input Data'!B19</f>
        <v>31200</v>
      </c>
      <c r="C9" s="7" t="s">
        <v>93</v>
      </c>
    </row>
    <row r="10" customFormat="false" ht="18" hidden="false" customHeight="true" outlineLevel="0" collapsed="false">
      <c r="A10" s="35" t="s">
        <v>94</v>
      </c>
      <c r="B10" s="36" t="n">
        <f aca="false">'Input Data'!B14</f>
        <v>2000</v>
      </c>
      <c r="C10" s="7" t="s">
        <v>90</v>
      </c>
    </row>
    <row r="11" customFormat="false" ht="18" hidden="false" customHeight="true" outlineLevel="0" collapsed="false">
      <c r="A11" s="35" t="s">
        <v>95</v>
      </c>
      <c r="B11" s="36" t="n">
        <f aca="false">'Input Data'!B15</f>
        <v>900</v>
      </c>
      <c r="C11" s="7" t="s">
        <v>90</v>
      </c>
    </row>
    <row r="12" customFormat="false" ht="15" hidden="false" customHeight="true" outlineLevel="0" collapsed="false">
      <c r="A12" s="20" t="s">
        <v>96</v>
      </c>
      <c r="B12" s="21" t="n">
        <f aca="false">B9+B10-B11</f>
        <v>32300</v>
      </c>
    </row>
    <row r="13" customFormat="false" ht="18" hidden="false" customHeight="true" outlineLevel="0" collapsed="false">
      <c r="A13" s="35" t="s">
        <v>97</v>
      </c>
      <c r="B13" s="36" t="n">
        <f aca="false">'Computed Metrics'!B23</f>
        <v>590</v>
      </c>
      <c r="C13" s="7" t="s">
        <v>98</v>
      </c>
    </row>
    <row r="14" customFormat="false" ht="18" hidden="false" customHeight="true" outlineLevel="0" collapsed="false">
      <c r="A14" s="35" t="s">
        <v>99</v>
      </c>
      <c r="B14" s="38" t="n">
        <f aca="false">B12/B13</f>
        <v>54.7457627118644</v>
      </c>
      <c r="C14" s="7" t="s">
        <v>100</v>
      </c>
    </row>
    <row r="16" customFormat="false" ht="15" hidden="false" customHeight="true" outlineLevel="0" collapsed="false">
      <c r="A16" s="34" t="s">
        <v>101</v>
      </c>
      <c r="B16" s="34"/>
      <c r="C16" s="34"/>
    </row>
    <row r="17" customFormat="false" ht="15" hidden="false" customHeight="true" outlineLevel="0" collapsed="false">
      <c r="A17" s="12" t="s">
        <v>102</v>
      </c>
      <c r="B17" s="12" t="s">
        <v>103</v>
      </c>
      <c r="C17" s="12" t="s">
        <v>104</v>
      </c>
    </row>
    <row r="18" customFormat="false" ht="15" hidden="false" customHeight="true" outlineLevel="0" collapsed="false">
      <c r="A18" s="39" t="s">
        <v>73</v>
      </c>
      <c r="B18" s="36" t="n">
        <f aca="false">'Input Data'!B5</f>
        <v>780</v>
      </c>
      <c r="C18" s="40" t="n">
        <f aca="false">'Computed Metrics'!B38</f>
        <v>390</v>
      </c>
    </row>
    <row r="19" customFormat="false" ht="15" hidden="false" customHeight="true" outlineLevel="0" collapsed="false">
      <c r="A19" s="39" t="s">
        <v>89</v>
      </c>
      <c r="B19" s="36" t="n">
        <f aca="false">'Input Data'!B18</f>
        <v>600</v>
      </c>
      <c r="C19" s="40" t="n">
        <f aca="false">'Input Data'!B18</f>
        <v>600</v>
      </c>
    </row>
    <row r="20" customFormat="false" ht="15" hidden="false" customHeight="true" outlineLevel="0" collapsed="false">
      <c r="A20" s="39" t="s">
        <v>105</v>
      </c>
      <c r="B20" s="37" t="n">
        <f aca="false">B18/'Input Data'!B18</f>
        <v>1.3</v>
      </c>
      <c r="C20" s="41" t="n">
        <f aca="false">C18/'Input Data'!B18</f>
        <v>0.65</v>
      </c>
    </row>
    <row r="21" customFormat="false" ht="15" hidden="false" customHeight="true" outlineLevel="0" collapsed="false">
      <c r="A21" s="39" t="s">
        <v>91</v>
      </c>
      <c r="B21" s="37" t="n">
        <f aca="false">'Input Data'!B19</f>
        <v>52</v>
      </c>
      <c r="C21" s="41" t="n">
        <f aca="false">'Input Data'!B19</f>
        <v>52</v>
      </c>
    </row>
    <row r="22" customFormat="false" ht="15" hidden="false" customHeight="true" outlineLevel="0" collapsed="false">
      <c r="A22" s="42" t="s">
        <v>106</v>
      </c>
      <c r="B22" s="43" t="n">
        <f aca="false">'Input Data'!B19/B20</f>
        <v>40</v>
      </c>
      <c r="C22" s="44" t="n">
        <f aca="false">'Input Data'!B19/C20</f>
        <v>80</v>
      </c>
    </row>
    <row r="24" customFormat="false" ht="15" hidden="false" customHeight="true" outlineLevel="0" collapsed="false">
      <c r="A24" s="34" t="s">
        <v>107</v>
      </c>
      <c r="B24" s="34"/>
      <c r="C24" s="34"/>
    </row>
    <row r="25" customFormat="false" ht="15" hidden="false" customHeight="true" outlineLevel="0" collapsed="false">
      <c r="A25" s="12" t="s">
        <v>2</v>
      </c>
      <c r="B25" s="12" t="s">
        <v>108</v>
      </c>
      <c r="C25" s="12" t="s">
        <v>5</v>
      </c>
    </row>
    <row r="26" customFormat="false" ht="18" hidden="false" customHeight="true" outlineLevel="0" collapsed="false">
      <c r="A26" s="35" t="s">
        <v>109</v>
      </c>
      <c r="B26" s="36" t="n">
        <f aca="false">'Input Data'!B4</f>
        <v>5200</v>
      </c>
      <c r="C26" s="7" t="s">
        <v>90</v>
      </c>
    </row>
    <row r="27" customFormat="false" ht="18" hidden="false" customHeight="true" outlineLevel="0" collapsed="false">
      <c r="A27" s="35" t="s">
        <v>110</v>
      </c>
      <c r="B27" s="45" t="n">
        <f aca="false">-'Input Data'!B4*B4</f>
        <v>-520</v>
      </c>
      <c r="C27" s="7" t="s">
        <v>98</v>
      </c>
    </row>
    <row r="28" customFormat="false" ht="18" hidden="false" customHeight="true" outlineLevel="0" collapsed="false">
      <c r="A28" s="35" t="s">
        <v>111</v>
      </c>
      <c r="B28" s="36" t="n">
        <f aca="false">'Input Data'!B4+B27</f>
        <v>4680</v>
      </c>
    </row>
    <row r="29" customFormat="false" ht="18" hidden="false" customHeight="true" outlineLevel="0" collapsed="false">
      <c r="A29" s="35" t="s">
        <v>112</v>
      </c>
      <c r="B29" s="36" t="n">
        <f aca="false">'Input Data'!C4</f>
        <v>3900</v>
      </c>
    </row>
    <row r="30" customFormat="false" ht="18" hidden="false" customHeight="true" outlineLevel="0" collapsed="false">
      <c r="A30" s="35" t="s">
        <v>113</v>
      </c>
      <c r="B30" s="46" t="n">
        <f aca="false">(B28-'Input Data'!C4)/'Input Data'!C4</f>
        <v>0.2</v>
      </c>
      <c r="C30" s="7" t="s">
        <v>114</v>
      </c>
    </row>
    <row r="31" customFormat="false" ht="18" hidden="false" customHeight="true" outlineLevel="0" collapsed="false">
      <c r="A31" s="35" t="s">
        <v>115</v>
      </c>
      <c r="B31" s="46" t="n">
        <f aca="false">('Input Data'!B4-'Input Data'!C4)/'Input Data'!C4</f>
        <v>0.333333333333333</v>
      </c>
      <c r="C31" s="7" t="s">
        <v>116</v>
      </c>
    </row>
    <row r="33" customFormat="false" ht="15" hidden="false" customHeight="true" outlineLevel="0" collapsed="false">
      <c r="A33" s="34" t="s">
        <v>117</v>
      </c>
      <c r="B33" s="34"/>
      <c r="C33" s="34"/>
    </row>
    <row r="34" customFormat="false" ht="15" hidden="false" customHeight="true" outlineLevel="0" collapsed="false">
      <c r="A34" s="12" t="s">
        <v>118</v>
      </c>
      <c r="B34" s="12" t="s">
        <v>119</v>
      </c>
      <c r="C34" s="12" t="s">
        <v>5</v>
      </c>
    </row>
    <row r="35" customFormat="false" ht="18" hidden="false" customHeight="true" outlineLevel="0" collapsed="false">
      <c r="A35" s="35" t="s">
        <v>120</v>
      </c>
      <c r="B35" s="36" t="n">
        <f aca="false">'Computed Metrics'!B23</f>
        <v>590</v>
      </c>
      <c r="C35" s="7" t="s">
        <v>121</v>
      </c>
    </row>
    <row r="36" customFormat="false" ht="18" hidden="false" customHeight="true" outlineLevel="0" collapsed="false">
      <c r="A36" s="31" t="s">
        <v>84</v>
      </c>
      <c r="B36" s="32" t="n">
        <f aca="false">B3</f>
        <v>25</v>
      </c>
      <c r="C36" s="7" t="s">
        <v>122</v>
      </c>
    </row>
    <row r="37" customFormat="false" ht="18" hidden="false" customHeight="true" outlineLevel="0" collapsed="false">
      <c r="A37" s="35" t="s">
        <v>123</v>
      </c>
      <c r="B37" s="36" t="n">
        <f aca="false">B35*B36</f>
        <v>14750</v>
      </c>
    </row>
    <row r="38" customFormat="false" ht="18" hidden="false" customHeight="true" outlineLevel="0" collapsed="false">
      <c r="A38" s="35" t="s">
        <v>124</v>
      </c>
      <c r="B38" s="45" t="n">
        <f aca="false">-('Input Data'!B14-'Input Data'!B15)</f>
        <v>-1100</v>
      </c>
    </row>
    <row r="39" customFormat="false" ht="18" hidden="false" customHeight="true" outlineLevel="0" collapsed="false">
      <c r="A39" s="35" t="s">
        <v>125</v>
      </c>
      <c r="B39" s="36" t="n">
        <f aca="false">B37+B38</f>
        <v>13650</v>
      </c>
    </row>
    <row r="40" customFormat="false" ht="18" hidden="false" customHeight="true" outlineLevel="0" collapsed="false">
      <c r="A40" s="35" t="s">
        <v>126</v>
      </c>
      <c r="B40" s="36" t="n">
        <f aca="false">'Input Data'!B18</f>
        <v>600</v>
      </c>
    </row>
    <row r="41" customFormat="false" ht="15" hidden="false" customHeight="true" outlineLevel="0" collapsed="false">
      <c r="A41" s="47" t="s">
        <v>127</v>
      </c>
      <c r="B41" s="48" t="n">
        <f aca="false">B39/B40</f>
        <v>22.75</v>
      </c>
    </row>
    <row r="42" customFormat="false" ht="18" hidden="false" customHeight="true" outlineLevel="0" collapsed="false">
      <c r="A42" s="35" t="s">
        <v>128</v>
      </c>
      <c r="B42" s="37" t="n">
        <f aca="false">'Input Data'!B19</f>
        <v>52</v>
      </c>
    </row>
    <row r="43" customFormat="false" ht="15" hidden="false" customHeight="true" outlineLevel="0" collapsed="false">
      <c r="A43" s="49" t="s">
        <v>129</v>
      </c>
      <c r="B43" s="50" t="n">
        <f aca="false">('Input Data'!B19-B41)/B41</f>
        <v>1.28571428571429</v>
      </c>
      <c r="C43" s="7" t="s">
        <v>130</v>
      </c>
    </row>
  </sheetData>
  <mergeCells count="6">
    <mergeCell ref="A1:C1"/>
    <mergeCell ref="A2:C2"/>
    <mergeCell ref="A6:C6"/>
    <mergeCell ref="A16:C16"/>
    <mergeCell ref="A24:C24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28"/>
  </cols>
  <sheetData>
    <row r="1" customFormat="false" ht="30" hidden="false" customHeight="true" outlineLevel="0" collapsed="false">
      <c r="A1" s="29" t="s">
        <v>131</v>
      </c>
      <c r="B1" s="29"/>
      <c r="C1" s="29"/>
      <c r="D1" s="29"/>
    </row>
    <row r="2" customFormat="false" ht="15" hidden="false" customHeight="true" outlineLevel="0" collapsed="false">
      <c r="A2" s="12" t="s">
        <v>132</v>
      </c>
      <c r="B2" s="12" t="s">
        <v>133</v>
      </c>
      <c r="C2" s="12" t="s">
        <v>134</v>
      </c>
      <c r="D2" s="12" t="s">
        <v>135</v>
      </c>
    </row>
    <row r="3" customFormat="false" ht="36" hidden="false" customHeight="true" outlineLevel="0" collapsed="false">
      <c r="A3" s="51" t="s">
        <v>136</v>
      </c>
      <c r="B3" s="52" t="s">
        <v>137</v>
      </c>
      <c r="C3" s="53" t="n">
        <f aca="false">'Computed Metrics'!B38/'Input Data'!B5</f>
        <v>0.5</v>
      </c>
      <c r="D3" s="54" t="s">
        <v>138</v>
      </c>
    </row>
    <row r="4" customFormat="false" ht="36" hidden="false" customHeight="true" outlineLevel="0" collapsed="false">
      <c r="A4" s="51" t="s">
        <v>139</v>
      </c>
      <c r="B4" s="52" t="s">
        <v>140</v>
      </c>
      <c r="C4" s="53" t="str">
        <f aca="false">IFERROR(('Input Data'!B5-'Input Data'!C5)/ABS('Input Data'!C5)-('Input Data'!B1-'Input Data'!C1)/ABS('Input Data'!C1),"N/A")</f>
        <v>N/A</v>
      </c>
      <c r="D4" s="54" t="s">
        <v>141</v>
      </c>
    </row>
    <row r="5" customFormat="false" ht="36" hidden="false" customHeight="true" outlineLevel="0" collapsed="false">
      <c r="A5" s="51" t="s">
        <v>142</v>
      </c>
      <c r="B5" s="52" t="s">
        <v>143</v>
      </c>
      <c r="C5" s="55" t="n">
        <f aca="false">Valuation!B14</f>
        <v>54.7457627118644</v>
      </c>
      <c r="D5" s="54" t="s">
        <v>144</v>
      </c>
    </row>
    <row r="7" customFormat="false" ht="15" hidden="false" customHeight="true" outlineLevel="0" collapsed="false">
      <c r="A7" s="34" t="s">
        <v>145</v>
      </c>
      <c r="B7" s="34"/>
      <c r="C7" s="34"/>
      <c r="D7" s="34"/>
    </row>
    <row r="8" customFormat="false" ht="15" hidden="false" customHeight="true" outlineLevel="0" collapsed="false">
      <c r="A8" s="12" t="s">
        <v>102</v>
      </c>
      <c r="B8" s="12" t="s">
        <v>3</v>
      </c>
      <c r="C8" s="12" t="s">
        <v>4</v>
      </c>
      <c r="D8" s="12" t="s">
        <v>146</v>
      </c>
    </row>
    <row r="9" customFormat="false" ht="15" hidden="false" customHeight="true" outlineLevel="0" collapsed="false">
      <c r="A9" s="56" t="s">
        <v>74</v>
      </c>
      <c r="B9" s="57" t="n">
        <f aca="false">'Computed Metrics'!B15</f>
        <v>1240</v>
      </c>
      <c r="C9" s="58" t="n">
        <f aca="false">'Computed Metrics'!C15</f>
        <v>904</v>
      </c>
      <c r="D9" s="59" t="s">
        <v>147</v>
      </c>
    </row>
    <row r="10" customFormat="false" ht="15" hidden="false" customHeight="true" outlineLevel="0" collapsed="false">
      <c r="A10" s="56" t="s">
        <v>120</v>
      </c>
      <c r="B10" s="57" t="n">
        <f aca="false">'Computed Metrics'!B23</f>
        <v>590</v>
      </c>
      <c r="C10" s="58" t="n">
        <f aca="false">'Computed Metrics'!C23</f>
        <v>514</v>
      </c>
      <c r="D10" s="59" t="s">
        <v>148</v>
      </c>
    </row>
    <row r="11" customFormat="false" ht="21.75" hidden="false" customHeight="true" outlineLevel="0" collapsed="false">
      <c r="A11" s="60" t="s">
        <v>69</v>
      </c>
      <c r="B11" s="61" t="n">
        <f aca="false">'Computed Metrics'!B38</f>
        <v>390</v>
      </c>
      <c r="C11" s="62" t="n">
        <f aca="false">'Computed Metrics'!C38</f>
        <v>273</v>
      </c>
      <c r="D11" s="63" t="s">
        <v>149</v>
      </c>
    </row>
    <row r="12" customFormat="false" ht="15" hidden="false" customHeight="true" outlineLevel="0" collapsed="false">
      <c r="A12" s="56" t="s">
        <v>77</v>
      </c>
      <c r="B12" s="64" t="n">
        <f aca="false">'Computed Metrics'!B48</f>
        <v>-0.058974358974359</v>
      </c>
      <c r="C12" s="65" t="n">
        <f aca="false">'Computed Metrics'!C48</f>
        <v>-0.0735185185185185</v>
      </c>
      <c r="D12" s="59" t="s">
        <v>150</v>
      </c>
    </row>
    <row r="13" customFormat="false" ht="21.75" hidden="false" customHeight="true" outlineLevel="0" collapsed="false">
      <c r="A13" s="56" t="s">
        <v>151</v>
      </c>
      <c r="B13" s="66" t="n">
        <f aca="false">'Computed Metrics'!B54</f>
        <v>1.58974358974359</v>
      </c>
      <c r="C13" s="67" t="n">
        <f aca="false">'Computed Metrics'!C54</f>
        <v>1.78303747534517</v>
      </c>
      <c r="D13" s="59" t="s">
        <v>152</v>
      </c>
    </row>
    <row r="14" customFormat="false" ht="15" hidden="false" customHeight="true" outlineLevel="0" collapsed="false">
      <c r="A14" s="60" t="s">
        <v>153</v>
      </c>
      <c r="B14" s="68" t="n">
        <f aca="false">Valuation!B22</f>
        <v>40</v>
      </c>
      <c r="C14" s="52" t="s">
        <v>154</v>
      </c>
      <c r="D14" s="63" t="s">
        <v>155</v>
      </c>
    </row>
    <row r="15" customFormat="false" ht="21.75" hidden="false" customHeight="true" outlineLevel="0" collapsed="false">
      <c r="A15" s="60" t="s">
        <v>156</v>
      </c>
      <c r="B15" s="68" t="n">
        <f aca="false">Valuation!C22</f>
        <v>80</v>
      </c>
      <c r="C15" s="52" t="s">
        <v>157</v>
      </c>
      <c r="D15" s="63" t="s">
        <v>158</v>
      </c>
    </row>
    <row r="16" customFormat="false" ht="15" hidden="false" customHeight="true" outlineLevel="0" collapsed="false">
      <c r="A16" s="60" t="s">
        <v>159</v>
      </c>
      <c r="B16" s="68" t="n">
        <f aca="false">Valuation!B14</f>
        <v>54.7457627118644</v>
      </c>
      <c r="C16" s="52" t="s">
        <v>157</v>
      </c>
      <c r="D16" s="63" t="s">
        <v>160</v>
      </c>
    </row>
    <row r="17" customFormat="false" ht="21.75" hidden="false" customHeight="true" outlineLevel="0" collapsed="false">
      <c r="A17" s="56" t="s">
        <v>161</v>
      </c>
      <c r="B17" s="69" t="n">
        <f aca="false">Valuation!B41</f>
        <v>22.75</v>
      </c>
      <c r="C17" s="59" t="s">
        <v>157</v>
      </c>
      <c r="D17" s="59" t="s">
        <v>162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</cols>
  <sheetData>
    <row r="1" customFormat="false" ht="27.75" hidden="false" customHeight="true" outlineLevel="0" collapsed="false">
      <c r="A1" s="70" t="s">
        <v>163</v>
      </c>
      <c r="B1" s="70"/>
      <c r="C1" s="70"/>
    </row>
    <row r="2" customFormat="false" ht="15" hidden="false" customHeight="true" outlineLevel="0" collapsed="false">
      <c r="A2" s="3" t="s">
        <v>164</v>
      </c>
      <c r="B2" s="3"/>
      <c r="C2" s="3"/>
    </row>
    <row r="3" customFormat="false" ht="15" hidden="false" customHeight="true" outlineLevel="0" collapsed="false">
      <c r="A3" s="12" t="s">
        <v>2</v>
      </c>
      <c r="B3" s="12" t="s">
        <v>3</v>
      </c>
      <c r="C3" s="12" t="s">
        <v>4</v>
      </c>
    </row>
    <row r="4" customFormat="false" ht="15" hidden="false" customHeight="true" outlineLevel="0" collapsed="false">
      <c r="A4" s="5" t="s">
        <v>6</v>
      </c>
      <c r="B4" s="6"/>
      <c r="C4" s="6"/>
    </row>
    <row r="5" customFormat="false" ht="15" hidden="false" customHeight="true" outlineLevel="0" collapsed="false">
      <c r="A5" s="5" t="s">
        <v>8</v>
      </c>
      <c r="B5" s="6"/>
      <c r="C5" s="6"/>
    </row>
    <row r="6" customFormat="false" ht="15" hidden="false" customHeight="true" outlineLevel="0" collapsed="false">
      <c r="A6" s="5" t="s">
        <v>10</v>
      </c>
      <c r="B6" s="6"/>
      <c r="C6" s="6"/>
    </row>
    <row r="7" customFormat="false" ht="15" hidden="false" customHeight="true" outlineLevel="0" collapsed="false">
      <c r="A7" s="5" t="s">
        <v>12</v>
      </c>
      <c r="B7" s="6"/>
      <c r="C7" s="6"/>
    </row>
    <row r="8" customFormat="false" ht="15" hidden="false" customHeight="true" outlineLevel="0" collapsed="false">
      <c r="A8" s="5" t="s">
        <v>14</v>
      </c>
      <c r="B8" s="6"/>
      <c r="C8" s="6"/>
    </row>
    <row r="9" customFormat="false" ht="15" hidden="false" customHeight="true" outlineLevel="0" collapsed="false">
      <c r="A9" s="5" t="s">
        <v>16</v>
      </c>
      <c r="B9" s="6"/>
      <c r="C9" s="6"/>
    </row>
    <row r="10" customFormat="false" ht="15" hidden="false" customHeight="true" outlineLevel="0" collapsed="false">
      <c r="A10" s="5" t="s">
        <v>17</v>
      </c>
      <c r="B10" s="6"/>
      <c r="C10" s="6"/>
    </row>
    <row r="11" customFormat="false" ht="15" hidden="false" customHeight="true" outlineLevel="0" collapsed="false">
      <c r="A11" s="5" t="s">
        <v>19</v>
      </c>
      <c r="B11" s="6"/>
      <c r="C11" s="6"/>
    </row>
    <row r="12" customFormat="false" ht="15" hidden="false" customHeight="true" outlineLevel="0" collapsed="false">
      <c r="A12" s="5" t="s">
        <v>20</v>
      </c>
      <c r="B12" s="6"/>
      <c r="C12" s="6"/>
    </row>
    <row r="13" customFormat="false" ht="15" hidden="false" customHeight="true" outlineLevel="0" collapsed="false">
      <c r="A13" s="5" t="s">
        <v>22</v>
      </c>
      <c r="B13" s="6"/>
      <c r="C13" s="6"/>
    </row>
    <row r="14" customFormat="false" ht="15" hidden="false" customHeight="true" outlineLevel="0" collapsed="false">
      <c r="A14" s="5" t="s">
        <v>24</v>
      </c>
      <c r="B14" s="6"/>
      <c r="C14" s="6"/>
    </row>
    <row r="15" customFormat="false" ht="15" hidden="false" customHeight="true" outlineLevel="0" collapsed="false">
      <c r="A15" s="5" t="s">
        <v>26</v>
      </c>
      <c r="B15" s="6"/>
      <c r="C15" s="6"/>
    </row>
    <row r="16" customFormat="false" ht="15" hidden="false" customHeight="true" outlineLevel="0" collapsed="false">
      <c r="A16" s="5" t="s">
        <v>28</v>
      </c>
      <c r="B16" s="6"/>
      <c r="C16" s="6"/>
    </row>
    <row r="17" customFormat="false" ht="15" hidden="false" customHeight="true" outlineLevel="0" collapsed="false">
      <c r="A17" s="5" t="s">
        <v>30</v>
      </c>
      <c r="B17" s="6"/>
      <c r="C17" s="6"/>
    </row>
    <row r="18" customFormat="false" ht="15" hidden="false" customHeight="true" outlineLevel="0" collapsed="false">
      <c r="A18" s="5" t="s">
        <v>32</v>
      </c>
      <c r="B18" s="6"/>
      <c r="C18" s="6"/>
    </row>
    <row r="19" customFormat="false" ht="15" hidden="false" customHeight="true" outlineLevel="0" collapsed="false">
      <c r="A19" s="5" t="s">
        <v>34</v>
      </c>
      <c r="B19" s="6"/>
      <c r="C19" s="6"/>
    </row>
    <row r="20" customFormat="false" ht="15" hidden="false" customHeight="true" outlineLevel="0" collapsed="false">
      <c r="A20" s="71" t="s">
        <v>165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2026-03-26T08:58:34Z</dcterms:created>
  <dc:creator>openpyxl</dc:creator>
  <dc:description/>
  <dc:language>en-US</dc:language>
  <cp:lastModifiedBy/>
  <dcterms:modified xsi:type="dcterms:W3CDTF">2026-03-26T08:59:23Z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